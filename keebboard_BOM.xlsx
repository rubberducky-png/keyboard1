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<sst xmlns="http://schemas.openxmlformats.org/spreadsheetml/2006/main" count="40" uniqueCount="38">
  <si>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Component</t>
  </si>
  <si>
    <t xml:space="preserve">Qty</t>
  </si>
  <si>
    <t xml:space="preserve">Unit Cost ($)</t>
  </si>
  <si>
    <t xml:space="preserve">Total ($)</t>
  </si>
  <si>
    <t xml:space="preserve">Source / Notes</t>
  </si>
  <si>
    <t xml:space="preserve">PCB COMPONENTS (from your actual board file)</t>
  </si>
  <si>
    <t xml:space="preserve">Cherry MX-style switches (mixed sizes, 80 total)</t>
  </si>
  <si>
    <t xml:space="preserve">Gateron budget-tier bulk price. Cherry-branded ~$0.50/switch instead.</t>
  </si>
  <si>
    <t xml:space="preserve">1N4148 diodes</t>
  </si>
  <si>
    <t xml:space="preserve">Standard bulk THT diode pricing</t>
  </si>
  <si>
    <t xml:space="preserve">Cherry-style stabilizers (2x 2.25u, 1x 2u, 1x 6.25u)</t>
  </si>
  <si>
    <t xml:space="preserve">Per stab set (2 stems + wire)</t>
  </si>
  <si>
    <t xml:space="preserve">Rotary encoder (EC11-style)</t>
  </si>
  <si>
    <t xml:space="preserve">Basic EC11, no illumination</t>
  </si>
  <si>
    <t xml:space="preserve">Raspberry Pi Pico</t>
  </si>
  <si>
    <t xml:space="preserve">Genuine board, single-unit retail</t>
  </si>
  <si>
    <t xml:space="preserve">RN4871-V/RM118 BLE module</t>
  </si>
  <si>
    <t xml:space="preserve">Single-unit distributor price (bulk 320+ drops to ~$8)</t>
  </si>
  <si>
    <t xml:space="preserve">Resistors, 0805 (R1 330Ω, R2 10kΩ)</t>
  </si>
  <si>
    <t xml:space="preserve">Bulk passive pricing</t>
  </si>
  <si>
    <t xml:space="preserve">Capacitor, 0603 100nF (C1)</t>
  </si>
  <si>
    <t xml:space="preserve">LED, 0805 (status indicator)</t>
  </si>
  <si>
    <t xml:space="preserve">Mounting hole hardware: M2 screws</t>
  </si>
  <si>
    <t xml:space="preserve">For PCB-to-standoff mounting</t>
  </si>
  <si>
    <t xml:space="preserve">Mounting hole hardware: M2 heat-set inserts</t>
  </si>
  <si>
    <t xml:space="preserve">For case standoffs</t>
  </si>
  <si>
    <t xml:space="preserve">PCB fabrication (2-layer, ~313x152mm)</t>
  </si>
  <si>
    <t xml:space="preserve">Small-batch (~5pcs) price, this board / qty; large format raises typical fab cost</t>
  </si>
  <si>
    <t xml:space="preserve">SUPPORTING MATERIALS (not on the PCB itself, estimated)</t>
  </si>
  <si>
    <t xml:space="preserve">Keycap set (dye-sub PBT, ~80 caps used from a set)</t>
  </si>
  <si>
    <t xml:space="preserve">Typical 129-key earth-tone dye-sub set price; full set, only ~80 needed</t>
  </si>
  <si>
    <t xml:space="preserve">USB-C to Micro-USB cable (data-rated)</t>
  </si>
  <si>
    <t xml:space="preserve">Must be a data cable, not charge-only</t>
  </si>
  <si>
    <t xml:space="preserve">Case filament (PETG/PLA, earth-tone)</t>
  </si>
  <si>
    <t xml:space="preserve">Rough estimate for a 313x152mm wedge shell + standoffs</t>
  </si>
  <si>
    <t xml:space="preserve">Case assembly screws (M2, misc lengths)</t>
  </si>
  <si>
    <t xml:space="preserve">Top/bottom case fastening, separate from PCB mounting</t>
  </si>
  <si>
    <t xml:space="preserve">TOTAL ESTIMATED COST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</si>
</sst>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</row>
    <row r="3" customFormat="false" ht="15" hidden="false" customHeight="false" outlineLevel="0" collapsed="false">
      <c r="A3" s="2" t="s">
        <v>6</v>
      </c>
      <c r="B3" s="3" t="n">
        <v>80</v>
      </c>
      <c r="C3" s="4" t="n">
        <v>0.3</v>
      </c>
      <c r="D3" s="5" t="n">
        <f aca="false">B3*C3</f>
        <v>24</v>
      </c>
      <c r="E3" s="6" t="s">
        <v>7</v>
      </c>
    </row>
    <row r="4" customFormat="false" ht="15" hidden="false" customHeight="false" outlineLevel="0" collapsed="false">
      <c r="A4" s="2" t="s">
        <v>8</v>
      </c>
      <c r="B4" s="3" t="n">
        <v>82</v>
      </c>
      <c r="C4" s="4" t="n">
        <v>0.03</v>
      </c>
      <c r="D4" s="5" t="n">
        <f aca="false">B4*C4</f>
        <v>2.46</v>
      </c>
      <c r="E4" s="6" t="s">
        <v>9</v>
      </c>
    </row>
    <row r="5" customFormat="false" ht="15" hidden="false" customHeight="false" outlineLevel="0" collapsed="false">
      <c r="A5" s="2" t="s">
        <v>10</v>
      </c>
      <c r="B5" s="3" t="n">
        <v>4</v>
      </c>
      <c r="C5" s="4" t="n">
        <v>1.5</v>
      </c>
      <c r="D5" s="5" t="n">
        <f aca="false">B5*C5</f>
        <v>6</v>
      </c>
      <c r="E5" s="6" t="s">
        <v>11</v>
      </c>
    </row>
    <row r="6" customFormat="false" ht="15" hidden="false" customHeight="false" outlineLevel="0" collapsed="false">
      <c r="A6" s="2" t="s">
        <v>12</v>
      </c>
      <c r="B6" s="3" t="n">
        <v>1</v>
      </c>
      <c r="C6" s="4" t="n">
        <v>1</v>
      </c>
      <c r="D6" s="5" t="n">
        <f aca="false">B6*C6</f>
        <v>1</v>
      </c>
      <c r="E6" s="6" t="s">
        <v>13</v>
      </c>
    </row>
    <row r="7" customFormat="false" ht="15" hidden="false" customHeight="false" outlineLevel="0" collapsed="false">
      <c r="A7" s="2" t="s">
        <v>14</v>
      </c>
      <c r="B7" s="3" t="n">
        <v>1</v>
      </c>
      <c r="C7" s="4" t="n">
        <v>5</v>
      </c>
      <c r="D7" s="5" t="n">
        <f aca="false">B7*C7</f>
        <v>5</v>
      </c>
      <c r="E7" s="6" t="s">
        <v>15</v>
      </c>
    </row>
    <row r="8" customFormat="false" ht="15" hidden="false" customHeight="false" outlineLevel="0" collapsed="false">
      <c r="A8" s="2" t="s">
        <v>16</v>
      </c>
      <c r="B8" s="3" t="n">
        <v>1</v>
      </c>
      <c r="C8" s="4" t="n">
        <v>12</v>
      </c>
      <c r="D8" s="5" t="n">
        <f aca="false">B8*C8</f>
        <v>12</v>
      </c>
      <c r="E8" s="6" t="s">
        <v>17</v>
      </c>
    </row>
    <row r="9" customFormat="false" ht="15" hidden="false" customHeight="false" outlineLevel="0" collapsed="false">
      <c r="A9" s="2" t="s">
        <v>18</v>
      </c>
      <c r="B9" s="3" t="n">
        <v>2</v>
      </c>
      <c r="C9" s="4" t="n">
        <v>0.02</v>
      </c>
      <c r="D9" s="5" t="n">
        <f aca="false">B9*C9</f>
        <v>0.04</v>
      </c>
      <c r="E9" s="6" t="s">
        <v>19</v>
      </c>
    </row>
    <row r="10" customFormat="false" ht="15" hidden="false" customHeight="false" outlineLevel="0" collapsed="false">
      <c r="A10" s="2" t="s">
        <v>20</v>
      </c>
      <c r="B10" s="3" t="n">
        <v>1</v>
      </c>
      <c r="C10" s="4" t="n">
        <v>0.02</v>
      </c>
      <c r="D10" s="5" t="n">
        <f aca="false">B10*C10</f>
        <v>0.02</v>
      </c>
      <c r="E10" s="6" t="s">
        <v>19</v>
      </c>
    </row>
    <row r="11" customFormat="false" ht="15" hidden="false" customHeight="false" outlineLevel="0" collapsed="false">
      <c r="A11" s="2" t="s">
        <v>21</v>
      </c>
      <c r="B11" s="3" t="n">
        <v>1</v>
      </c>
      <c r="C11" s="4" t="n">
        <v>0.05</v>
      </c>
      <c r="D11" s="5" t="n">
        <f aca="false">B11*C11</f>
        <v>0.05</v>
      </c>
      <c r="E11" s="6" t="s">
        <v>19</v>
      </c>
    </row>
    <row r="12" customFormat="false" ht="15" hidden="false" customHeight="false" outlineLevel="0" collapsed="false">
      <c r="A12" s="2" t="s">
        <v>22</v>
      </c>
      <c r="B12" s="3" t="n">
        <v>4</v>
      </c>
      <c r="C12" s="4" t="n">
        <v>0.1</v>
      </c>
      <c r="D12" s="5" t="n">
        <f aca="false">B12*C12</f>
        <v>0.4</v>
      </c>
      <c r="E12" s="6" t="s">
        <v>23</v>
      </c>
    </row>
    <row r="13" customFormat="false" ht="15" hidden="false" customHeight="false" outlineLevel="0" collapsed="false">
      <c r="A13" s="2" t="s">
        <v>24</v>
      </c>
      <c r="B13" s="3" t="n">
        <v>4</v>
      </c>
      <c r="C13" s="4" t="n">
        <v>0.15</v>
      </c>
      <c r="D13" s="5" t="n">
        <f aca="false">B13*C13</f>
        <v>0.6</v>
      </c>
      <c r="E13" s="6" t="s">
        <v>25</v>
      </c>
    </row>
    <row r="14" customFormat="false" ht="15" hidden="false" customHeight="false" outlineLevel="0" collapsed="false">
      <c r="A14" s="2" t="s">
        <v>26</v>
      </c>
      <c r="B14" s="3" t="n">
        <v>1</v>
      </c>
      <c r="C14" s="4" t="n">
        <v>35</v>
      </c>
      <c r="D14" s="5" t="n">
        <f aca="false">B14*C14</f>
        <v>35</v>
      </c>
      <c r="E14" s="6" t="s">
        <v>27</v>
      </c>
    </row>
    <row r="16" customFormat="false" ht="15" hidden="false" customHeight="false" outlineLevel="0" collapsed="false">
      <c r="A16" s="7" t="s">
        <v>28</v>
      </c>
      <c r="B16" s="7"/>
      <c r="C16" s="7"/>
      <c r="D16" s="7"/>
      <c r="E16" s="7"/>
    </row>
    <row r="17" customFormat="false" ht="15" hidden="false" customHeight="false" outlineLevel="0" collapsed="false">
      <c r="A17" s="2" t="s">
        <v>29</v>
      </c>
      <c r="B17" s="3" t="n">
        <v>1</v>
      </c>
      <c r="C17" s="4" t="n">
        <v>40</v>
      </c>
      <c r="D17" s="5" t="n">
        <f aca="false">B17*C17</f>
        <v>40</v>
      </c>
      <c r="E17" s="6" t="s">
        <v>30</v>
      </c>
    </row>
    <row r="18" customFormat="false" ht="15" hidden="false" customHeight="false" outlineLevel="0" collapsed="false">
      <c r="A18" s="2" t="s">
        <v>31</v>
      </c>
      <c r="B18" s="3" t="n">
        <v>1</v>
      </c>
      <c r="C18" s="4" t="n">
        <v>6</v>
      </c>
      <c r="D18" s="5" t="n">
        <f aca="false">B18*C18</f>
        <v>6</v>
      </c>
      <c r="E18" s="6" t="s">
        <v>32</v>
      </c>
    </row>
    <row r="19" customFormat="false" ht="15" hidden="false" customHeight="false" outlineLevel="0" collapsed="false">
      <c r="A19" s="2" t="s">
        <v>33</v>
      </c>
      <c r="B19" s="3" t="n">
        <v>1</v>
      </c>
      <c r="C19" s="4" t="n">
        <v>12</v>
      </c>
      <c r="D19" s="5" t="n">
        <f aca="false">B19*C19</f>
        <v>12</v>
      </c>
      <c r="E19" s="6" t="s">
        <v>34</v>
      </c>
    </row>
    <row r="20" customFormat="false" ht="15" hidden="false" customHeight="false" outlineLevel="0" collapsed="false">
      <c r="A20" s="2" t="s">
        <v>35</v>
      </c>
      <c r="B20" s="3" t="n">
        <v>8</v>
      </c>
      <c r="C20" s="4" t="n">
        <v>0.1</v>
      </c>
      <c r="D20" s="5" t="n">
        <f aca="false">B20*C20</f>
        <v>0.8</v>
      </c>
      <c r="E20" s="6" t="s">
        <v>36</v>
      </c>
    </row>
    <row r="22" customFormat="false" ht="15" hidden="false" customHeight="false" outlineLevel="0" collapsed="false">
      <c r="A22" s="8" t="s">
        <v>37</v>
      </c>
      <c r="D22" s="9" t="n">
        <f aca="false">D3+D4+D5+D6+D7+D8+D9+D10+D11+D12+D13+D14+D17+D18+D19+D20</f>
        <v>145.37</v>
      </c>
    </row>
  </sheetData>
  <mergeCells count="1"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2026-07-19T14:50:24Z</dcterms:created>
  <dc:creator>openpyxl</dc:creator>
  <dc:description/>
  <dc:language>en-US</dc:language>
  <cp:lastModifiedBy/>
  <dcterms:modified xsi:type="dcterms:W3CDTF">2026-07-19T14:50:24Z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